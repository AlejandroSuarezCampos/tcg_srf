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ngos" sheetId="1" r:id="rId1"/>
    <sheet name="Parametros" sheetId="2" r:id="rId2"/>
    <sheet name="Uso" sheetId="3" r:id="rId3"/>
    <sheet name="Verificacion" sheetId="4" r:id="rId4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4"/>
      <name val="Arial"/>
    </font>
    <font>
      <b/>
      <sz val="10"/>
      <color rgb="FFFFFFFF"/>
      <name val="Arial"/>
    </font>
    <font>
      <b/>
      <sz val="10"/>
      <color rgb="FF0000FF"/>
      <name val="Arial"/>
    </font>
    <font>
      <sz val="10"/>
      <color rgb="FFC0000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B120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2" borderId="1" xfId="0" applyAlignment="1">
      <alignment horizontal="center" vertical="center" wrapText="1"/>
    </xf>
    <xf numFmtId="0" fontId="3" fillId="3" borderId="1" xfId="0" applyAlignment="1">
      <alignment horizontal="center"/>
    </xf>
    <xf numFmtId="0" fontId="0" fillId="0" borderId="1" xfId="0" applyAlignment="1">
      <alignment horizontal="center"/>
    </xf>
    <xf numFmtId="0" fontId="0" fillId="0" borderId="0" xfId="0" applyAlignment="1">
      <alignment vertical="top" wrapText="1"/>
    </xf>
    <xf numFmtId="0" fontId="4" fillId="0" borderId="0" xfId="0" applyAlignment="1">
      <alignment vertical="top" wrapText="1"/>
    </xf>
    <xf numFmtId="0" fontId="5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9" customWidth="1"/>
    <col min="2" max="2" width="14" customWidth="1"/>
    <col min="3" max="3" width="11" customWidth="1"/>
    <col min="4" max="4" width="17" customWidth="1"/>
    <col min="5" max="5" width="12" customWidth="1"/>
    <col min="6" max="6" width="12" customWidth="1"/>
    <col min="7" max="7" width="13" customWidth="1"/>
    <col min="8" max="8" width="13" customWidth="1"/>
    <col min="9" max="9" width="12" customWidth="1"/>
    <col min="10" max="10" width="12" customWidth="1"/>
  </cols>
  <sheetData>
    <row r="1">
      <c r="A1" s="1" t="inlineStr">
        <is>
          <t xml:space="preserve">Rangos de estadísticas por rareza y posición</t>
        </is>
      </c>
    </row>
    <row r="2">
      <c r="A2" t="inlineStr">
        <is>
          <t xml:space="preserve">Todo lo de esta hoja se calcula solo desde la hoja Parametros. No escribas números aquí.</t>
        </is>
      </c>
    </row>
    <row r="3"/>
    <row r="4">
      <c r="A4" s="2" t="inlineStr">
        <is>
          <t xml:space="preserve">Rareza</t>
        </is>
      </c>
      <c r="B4" s="2" t="inlineStr">
        <is>
          <t xml:space="preserve">Nombre</t>
        </is>
      </c>
      <c r="C4" s="2" t="inlineStr">
        <is>
          <t xml:space="preserve">Posición</t>
        </is>
      </c>
      <c r="D4" s="2" t="inlineStr">
        <is>
          <t xml:space="preserve">Puesto</t>
        </is>
      </c>
      <c r="E4" s="2" t="inlineStr">
        <is>
          <t xml:space="preserve">Ataque mín</t>
        </is>
      </c>
      <c r="F4" s="2" t="inlineStr">
        <is>
          <t xml:space="preserve">Ataque máx</t>
        </is>
      </c>
      <c r="G4" s="2" t="inlineStr">
        <is>
          <t xml:space="preserve">Defensa mín</t>
        </is>
      </c>
      <c r="H4" s="2" t="inlineStr">
        <is>
          <t xml:space="preserve">Defensa máx</t>
        </is>
      </c>
      <c r="I4" s="2" t="inlineStr">
        <is>
          <t xml:space="preserve">Técnica mín</t>
        </is>
      </c>
      <c r="J4" s="2" t="inlineStr">
        <is>
          <t xml:space="preserve">Técnica máx</t>
        </is>
      </c>
    </row>
    <row r="5">
      <c r="A5" s="4">
        <v>1</v>
      </c>
      <c r="B5" s="4" t="inlineStr">
        <is>
          <t xml:space="preserve">Común</t>
        </is>
      </c>
      <c r="C5" s="4" t="inlineStr">
        <is>
          <t xml:space="preserve">POR</t>
        </is>
      </c>
      <c r="D5" s="4" t="inlineStr">
        <is>
          <t xml:space="preserve">Portero</t>
        </is>
      </c>
      <c r="E5" s="4">
        <f>MAX(Parametros!$B$15,MAX(Parametros!$B$15,MIN(Parametros!$B$16,ROUND(INDEX(Parametros!$B$10:$B$13,MATCH($C5,Parametros!$A$10:$A$13,0))+INDEX(Parametros!$C$10:$C$13,MATCH($C5,Parametros!$A$10:$A$13,0))*$A5,0)))-Parametros!$B$3)</f>
      </c>
      <c r="F5" s="4">
        <f>MIN(Parametros!$B$16,MAX(Parametros!$B$15,MIN(Parametros!$B$16,ROUND(INDEX(Parametros!$B$10:$B$13,MATCH($C5,Parametros!$A$10:$A$13,0))+INDEX(Parametros!$C$10:$C$13,MATCH($C5,Parametros!$A$10:$A$13,0))*$A5,0)))+Parametros!$B$3)</f>
      </c>
      <c r="G5" s="4">
        <f>MAX(Parametros!$B$15,MAX(Parametros!$B$15,MIN(Parametros!$B$16,ROUND(INDEX(Parametros!$D$10:$D$13,MATCH($C5,Parametros!$A$10:$A$13,0))+INDEX(Parametros!$E$10:$E$13,MATCH($C5,Parametros!$A$10:$A$13,0))*$A5,0)))-Parametros!$B$3)</f>
      </c>
      <c r="H5" s="4">
        <f>MIN(Parametros!$B$16,MAX(Parametros!$B$15,MIN(Parametros!$B$16,ROUND(INDEX(Parametros!$D$10:$D$13,MATCH($C5,Parametros!$A$10:$A$13,0))+INDEX(Parametros!$E$10:$E$13,MATCH($C5,Parametros!$A$10:$A$13,0))*$A5,0)))+Parametros!$B$3)</f>
      </c>
      <c r="I5" s="4">
        <f>MAX(Parametros!$B$15,MAX(Parametros!$B$15,MIN(Parametros!$B$16,ROUND(INDEX(Parametros!$F$10:$F$13,MATCH($C5,Parametros!$A$10:$A$13,0))+INDEX(Parametros!$G$10:$G$13,MATCH($C5,Parametros!$A$10:$A$13,0))*$A5,0)))-Parametros!$B$3)</f>
      </c>
      <c r="J5" s="4">
        <f>MIN(Parametros!$B$16,MAX(Parametros!$B$15,MIN(Parametros!$B$16,ROUND(INDEX(Parametros!$F$10:$F$13,MATCH($C5,Parametros!$A$10:$A$13,0))+INDEX(Parametros!$G$10:$G$13,MATCH($C5,Parametros!$A$10:$A$13,0))*$A5,0)))+Parametros!$B$3)</f>
      </c>
    </row>
    <row r="6">
      <c r="A6" s="4">
        <v>1</v>
      </c>
      <c r="B6" s="4" t="inlineStr">
        <is>
          <t xml:space="preserve">Común</t>
        </is>
      </c>
      <c r="C6" s="4" t="inlineStr">
        <is>
          <t xml:space="preserve">DF</t>
        </is>
      </c>
      <c r="D6" s="4" t="inlineStr">
        <is>
          <t xml:space="preserve">Defensa</t>
        </is>
      </c>
      <c r="E6" s="4">
        <f>MAX(Parametros!$B$15,MAX(Parametros!$B$15,MIN(Parametros!$B$16,ROUND(INDEX(Parametros!$B$10:$B$13,MATCH($C6,Parametros!$A$10:$A$13,0))+INDEX(Parametros!$C$10:$C$13,MATCH($C6,Parametros!$A$10:$A$13,0))*$A6,0)))-Parametros!$B$3)</f>
      </c>
      <c r="F6" s="4">
        <f>MIN(Parametros!$B$16,MAX(Parametros!$B$15,MIN(Parametros!$B$16,ROUND(INDEX(Parametros!$B$10:$B$13,MATCH($C6,Parametros!$A$10:$A$13,0))+INDEX(Parametros!$C$10:$C$13,MATCH($C6,Parametros!$A$10:$A$13,0))*$A6,0)))+Parametros!$B$3)</f>
      </c>
      <c r="G6" s="4">
        <f>MAX(Parametros!$B$15,MAX(Parametros!$B$15,MIN(Parametros!$B$16,ROUND(INDEX(Parametros!$D$10:$D$13,MATCH($C6,Parametros!$A$10:$A$13,0))+INDEX(Parametros!$E$10:$E$13,MATCH($C6,Parametros!$A$10:$A$13,0))*$A6,0)))-Parametros!$B$3)</f>
      </c>
      <c r="H6" s="4">
        <f>MIN(Parametros!$B$16,MAX(Parametros!$B$15,MIN(Parametros!$B$16,ROUND(INDEX(Parametros!$D$10:$D$13,MATCH($C6,Parametros!$A$10:$A$13,0))+INDEX(Parametros!$E$10:$E$13,MATCH($C6,Parametros!$A$10:$A$13,0))*$A6,0)))+Parametros!$B$3)</f>
      </c>
      <c r="I6" s="4">
        <f>MAX(Parametros!$B$15,MAX(Parametros!$B$15,MIN(Parametros!$B$16,ROUND(INDEX(Parametros!$F$10:$F$13,MATCH($C6,Parametros!$A$10:$A$13,0))+INDEX(Parametros!$G$10:$G$13,MATCH($C6,Parametros!$A$10:$A$13,0))*$A6,0)))-Parametros!$B$3)</f>
      </c>
      <c r="J6" s="4">
        <f>MIN(Parametros!$B$16,MAX(Parametros!$B$15,MIN(Parametros!$B$16,ROUND(INDEX(Parametros!$F$10:$F$13,MATCH($C6,Parametros!$A$10:$A$13,0))+INDEX(Parametros!$G$10:$G$13,MATCH($C6,Parametros!$A$10:$A$13,0))*$A6,0)))+Parametros!$B$3)</f>
      </c>
    </row>
    <row r="7">
      <c r="A7" s="4">
        <v>1</v>
      </c>
      <c r="B7" s="4" t="inlineStr">
        <is>
          <t xml:space="preserve">Común</t>
        </is>
      </c>
      <c r="C7" s="4" t="inlineStr">
        <is>
          <t xml:space="preserve">MC</t>
        </is>
      </c>
      <c r="D7" s="4" t="inlineStr">
        <is>
          <t xml:space="preserve">Centrocampista</t>
        </is>
      </c>
      <c r="E7" s="4">
        <f>MAX(Parametros!$B$15,MAX(Parametros!$B$15,MIN(Parametros!$B$16,ROUND(INDEX(Parametros!$B$10:$B$13,MATCH($C7,Parametros!$A$10:$A$13,0))+INDEX(Parametros!$C$10:$C$13,MATCH($C7,Parametros!$A$10:$A$13,0))*$A7,0)))-Parametros!$B$3)</f>
      </c>
      <c r="F7" s="4">
        <f>MIN(Parametros!$B$16,MAX(Parametros!$B$15,MIN(Parametros!$B$16,ROUND(INDEX(Parametros!$B$10:$B$13,MATCH($C7,Parametros!$A$10:$A$13,0))+INDEX(Parametros!$C$10:$C$13,MATCH($C7,Parametros!$A$10:$A$13,0))*$A7,0)))+Parametros!$B$3)</f>
      </c>
      <c r="G7" s="4">
        <f>MAX(Parametros!$B$15,MAX(Parametros!$B$15,MIN(Parametros!$B$16,ROUND(INDEX(Parametros!$D$10:$D$13,MATCH($C7,Parametros!$A$10:$A$13,0))+INDEX(Parametros!$E$10:$E$13,MATCH($C7,Parametros!$A$10:$A$13,0))*$A7,0)))-Parametros!$B$3)</f>
      </c>
      <c r="H7" s="4">
        <f>MIN(Parametros!$B$16,MAX(Parametros!$B$15,MIN(Parametros!$B$16,ROUND(INDEX(Parametros!$D$10:$D$13,MATCH($C7,Parametros!$A$10:$A$13,0))+INDEX(Parametros!$E$10:$E$13,MATCH($C7,Parametros!$A$10:$A$13,0))*$A7,0)))+Parametros!$B$3)</f>
      </c>
      <c r="I7" s="4">
        <f>MAX(Parametros!$B$15,MAX(Parametros!$B$15,MIN(Parametros!$B$16,ROUND(INDEX(Parametros!$F$10:$F$13,MATCH($C7,Parametros!$A$10:$A$13,0))+INDEX(Parametros!$G$10:$G$13,MATCH($C7,Parametros!$A$10:$A$13,0))*$A7,0)))-Parametros!$B$3)</f>
      </c>
      <c r="J7" s="4">
        <f>MIN(Parametros!$B$16,MAX(Parametros!$B$15,MIN(Parametros!$B$16,ROUND(INDEX(Parametros!$F$10:$F$13,MATCH($C7,Parametros!$A$10:$A$13,0))+INDEX(Parametros!$G$10:$G$13,MATCH($C7,Parametros!$A$10:$A$13,0))*$A7,0)))+Parametros!$B$3)</f>
      </c>
    </row>
    <row r="8">
      <c r="A8" s="4">
        <v>1</v>
      </c>
      <c r="B8" s="4" t="inlineStr">
        <is>
          <t xml:space="preserve">Común</t>
        </is>
      </c>
      <c r="C8" s="4" t="inlineStr">
        <is>
          <t xml:space="preserve">DC</t>
        </is>
      </c>
      <c r="D8" s="4" t="inlineStr">
        <is>
          <t xml:space="preserve">Delantero</t>
        </is>
      </c>
      <c r="E8" s="4">
        <f>MAX(Parametros!$B$15,MAX(Parametros!$B$15,MIN(Parametros!$B$16,ROUND(INDEX(Parametros!$B$10:$B$13,MATCH($C8,Parametros!$A$10:$A$13,0))+INDEX(Parametros!$C$10:$C$13,MATCH($C8,Parametros!$A$10:$A$13,0))*$A8,0)))-Parametros!$B$3)</f>
      </c>
      <c r="F8" s="4">
        <f>MIN(Parametros!$B$16,MAX(Parametros!$B$15,MIN(Parametros!$B$16,ROUND(INDEX(Parametros!$B$10:$B$13,MATCH($C8,Parametros!$A$10:$A$13,0))+INDEX(Parametros!$C$10:$C$13,MATCH($C8,Parametros!$A$10:$A$13,0))*$A8,0)))+Parametros!$B$3)</f>
      </c>
      <c r="G8" s="4">
        <f>MAX(Parametros!$B$15,MAX(Parametros!$B$15,MIN(Parametros!$B$16,ROUND(INDEX(Parametros!$D$10:$D$13,MATCH($C8,Parametros!$A$10:$A$13,0))+INDEX(Parametros!$E$10:$E$13,MATCH($C8,Parametros!$A$10:$A$13,0))*$A8,0)))-Parametros!$B$3)</f>
      </c>
      <c r="H8" s="4">
        <f>MIN(Parametros!$B$16,MAX(Parametros!$B$15,MIN(Parametros!$B$16,ROUND(INDEX(Parametros!$D$10:$D$13,MATCH($C8,Parametros!$A$10:$A$13,0))+INDEX(Parametros!$E$10:$E$13,MATCH($C8,Parametros!$A$10:$A$13,0))*$A8,0)))+Parametros!$B$3)</f>
      </c>
      <c r="I8" s="4">
        <f>MAX(Parametros!$B$15,MAX(Parametros!$B$15,MIN(Parametros!$B$16,ROUND(INDEX(Parametros!$F$10:$F$13,MATCH($C8,Parametros!$A$10:$A$13,0))+INDEX(Parametros!$G$10:$G$13,MATCH($C8,Parametros!$A$10:$A$13,0))*$A8,0)))-Parametros!$B$3)</f>
      </c>
      <c r="J8" s="4">
        <f>MIN(Parametros!$B$16,MAX(Parametros!$B$15,MIN(Parametros!$B$16,ROUND(INDEX(Parametros!$F$10:$F$13,MATCH($C8,Parametros!$A$10:$A$13,0))+INDEX(Parametros!$G$10:$G$13,MATCH($C8,Parametros!$A$10:$A$13,0))*$A8,0)))+Parametros!$B$3)</f>
      </c>
    </row>
    <row r="9">
      <c r="A9" s="4">
        <v>2</v>
      </c>
      <c r="B9" s="4" t="inlineStr">
        <is>
          <t xml:space="preserve">Poco común</t>
        </is>
      </c>
      <c r="C9" s="4" t="inlineStr">
        <is>
          <t xml:space="preserve">POR</t>
        </is>
      </c>
      <c r="D9" s="4" t="inlineStr">
        <is>
          <t xml:space="preserve">Portero</t>
        </is>
      </c>
      <c r="E9" s="4">
        <f>MAX(Parametros!$B$15,MAX(Parametros!$B$15,MIN(Parametros!$B$16,ROUND(INDEX(Parametros!$B$10:$B$13,MATCH($C9,Parametros!$A$10:$A$13,0))+INDEX(Parametros!$C$10:$C$13,MATCH($C9,Parametros!$A$10:$A$13,0))*$A9,0)))-Parametros!$B$3)</f>
      </c>
      <c r="F9" s="4">
        <f>MIN(Parametros!$B$16,MAX(Parametros!$B$15,MIN(Parametros!$B$16,ROUND(INDEX(Parametros!$B$10:$B$13,MATCH($C9,Parametros!$A$10:$A$13,0))+INDEX(Parametros!$C$10:$C$13,MATCH($C9,Parametros!$A$10:$A$13,0))*$A9,0)))+Parametros!$B$3)</f>
      </c>
      <c r="G9" s="4">
        <f>MAX(Parametros!$B$15,MAX(Parametros!$B$15,MIN(Parametros!$B$16,ROUND(INDEX(Parametros!$D$10:$D$13,MATCH($C9,Parametros!$A$10:$A$13,0))+INDEX(Parametros!$E$10:$E$13,MATCH($C9,Parametros!$A$10:$A$13,0))*$A9,0)))-Parametros!$B$3)</f>
      </c>
      <c r="H9" s="4">
        <f>MIN(Parametros!$B$16,MAX(Parametros!$B$15,MIN(Parametros!$B$16,ROUND(INDEX(Parametros!$D$10:$D$13,MATCH($C9,Parametros!$A$10:$A$13,0))+INDEX(Parametros!$E$10:$E$13,MATCH($C9,Parametros!$A$10:$A$13,0))*$A9,0)))+Parametros!$B$3)</f>
      </c>
      <c r="I9" s="4">
        <f>MAX(Parametros!$B$15,MAX(Parametros!$B$15,MIN(Parametros!$B$16,ROUND(INDEX(Parametros!$F$10:$F$13,MATCH($C9,Parametros!$A$10:$A$13,0))+INDEX(Parametros!$G$10:$G$13,MATCH($C9,Parametros!$A$10:$A$13,0))*$A9,0)))-Parametros!$B$3)</f>
      </c>
      <c r="J9" s="4">
        <f>MIN(Parametros!$B$16,MAX(Parametros!$B$15,MIN(Parametros!$B$16,ROUND(INDEX(Parametros!$F$10:$F$13,MATCH($C9,Parametros!$A$10:$A$13,0))+INDEX(Parametros!$G$10:$G$13,MATCH($C9,Parametros!$A$10:$A$13,0))*$A9,0)))+Parametros!$B$3)</f>
      </c>
    </row>
    <row r="10">
      <c r="A10" s="4">
        <v>2</v>
      </c>
      <c r="B10" s="4" t="inlineStr">
        <is>
          <t xml:space="preserve">Poco común</t>
        </is>
      </c>
      <c r="C10" s="4" t="inlineStr">
        <is>
          <t xml:space="preserve">DF</t>
        </is>
      </c>
      <c r="D10" s="4" t="inlineStr">
        <is>
          <t xml:space="preserve">Defensa</t>
        </is>
      </c>
      <c r="E10" s="4">
        <f>MAX(Parametros!$B$15,MAX(Parametros!$B$15,MIN(Parametros!$B$16,ROUND(INDEX(Parametros!$B$10:$B$13,MATCH($C10,Parametros!$A$10:$A$13,0))+INDEX(Parametros!$C$10:$C$13,MATCH($C10,Parametros!$A$10:$A$13,0))*$A10,0)))-Parametros!$B$3)</f>
      </c>
      <c r="F10" s="4">
        <f>MIN(Parametros!$B$16,MAX(Parametros!$B$15,MIN(Parametros!$B$16,ROUND(INDEX(Parametros!$B$10:$B$13,MATCH($C10,Parametros!$A$10:$A$13,0))+INDEX(Parametros!$C$10:$C$13,MATCH($C10,Parametros!$A$10:$A$13,0))*$A10,0)))+Parametros!$B$3)</f>
      </c>
      <c r="G10" s="4">
        <f>MAX(Parametros!$B$15,MAX(Parametros!$B$15,MIN(Parametros!$B$16,ROUND(INDEX(Parametros!$D$10:$D$13,MATCH($C10,Parametros!$A$10:$A$13,0))+INDEX(Parametros!$E$10:$E$13,MATCH($C10,Parametros!$A$10:$A$13,0))*$A10,0)))-Parametros!$B$3)</f>
      </c>
      <c r="H10" s="4">
        <f>MIN(Parametros!$B$16,MAX(Parametros!$B$15,MIN(Parametros!$B$16,ROUND(INDEX(Parametros!$D$10:$D$13,MATCH($C10,Parametros!$A$10:$A$13,0))+INDEX(Parametros!$E$10:$E$13,MATCH($C10,Parametros!$A$10:$A$13,0))*$A10,0)))+Parametros!$B$3)</f>
      </c>
      <c r="I10" s="4">
        <f>MAX(Parametros!$B$15,MAX(Parametros!$B$15,MIN(Parametros!$B$16,ROUND(INDEX(Parametros!$F$10:$F$13,MATCH($C10,Parametros!$A$10:$A$13,0))+INDEX(Parametros!$G$10:$G$13,MATCH($C10,Parametros!$A$10:$A$13,0))*$A10,0)))-Parametros!$B$3)</f>
      </c>
      <c r="J10" s="4">
        <f>MIN(Parametros!$B$16,MAX(Parametros!$B$15,MIN(Parametros!$B$16,ROUND(INDEX(Parametros!$F$10:$F$13,MATCH($C10,Parametros!$A$10:$A$13,0))+INDEX(Parametros!$G$10:$G$13,MATCH($C10,Parametros!$A$10:$A$13,0))*$A10,0)))+Parametros!$B$3)</f>
      </c>
    </row>
    <row r="11">
      <c r="A11" s="4">
        <v>2</v>
      </c>
      <c r="B11" s="4" t="inlineStr">
        <is>
          <t xml:space="preserve">Poco común</t>
        </is>
      </c>
      <c r="C11" s="4" t="inlineStr">
        <is>
          <t xml:space="preserve">MC</t>
        </is>
      </c>
      <c r="D11" s="4" t="inlineStr">
        <is>
          <t xml:space="preserve">Centrocampista</t>
        </is>
      </c>
      <c r="E11" s="4">
        <f>MAX(Parametros!$B$15,MAX(Parametros!$B$15,MIN(Parametros!$B$16,ROUND(INDEX(Parametros!$B$10:$B$13,MATCH($C11,Parametros!$A$10:$A$13,0))+INDEX(Parametros!$C$10:$C$13,MATCH($C11,Parametros!$A$10:$A$13,0))*$A11,0)))-Parametros!$B$3)</f>
      </c>
      <c r="F11" s="4">
        <f>MIN(Parametros!$B$16,MAX(Parametros!$B$15,MIN(Parametros!$B$16,ROUND(INDEX(Parametros!$B$10:$B$13,MATCH($C11,Parametros!$A$10:$A$13,0))+INDEX(Parametros!$C$10:$C$13,MATCH($C11,Parametros!$A$10:$A$13,0))*$A11,0)))+Parametros!$B$3)</f>
      </c>
      <c r="G11" s="4">
        <f>MAX(Parametros!$B$15,MAX(Parametros!$B$15,MIN(Parametros!$B$16,ROUND(INDEX(Parametros!$D$10:$D$13,MATCH($C11,Parametros!$A$10:$A$13,0))+INDEX(Parametros!$E$10:$E$13,MATCH($C11,Parametros!$A$10:$A$13,0))*$A11,0)))-Parametros!$B$3)</f>
      </c>
      <c r="H11" s="4">
        <f>MIN(Parametros!$B$16,MAX(Parametros!$B$15,MIN(Parametros!$B$16,ROUND(INDEX(Parametros!$D$10:$D$13,MATCH($C11,Parametros!$A$10:$A$13,0))+INDEX(Parametros!$E$10:$E$13,MATCH($C11,Parametros!$A$10:$A$13,0))*$A11,0)))+Parametros!$B$3)</f>
      </c>
      <c r="I11" s="4">
        <f>MAX(Parametros!$B$15,MAX(Parametros!$B$15,MIN(Parametros!$B$16,ROUND(INDEX(Parametros!$F$10:$F$13,MATCH($C11,Parametros!$A$10:$A$13,0))+INDEX(Parametros!$G$10:$G$13,MATCH($C11,Parametros!$A$10:$A$13,0))*$A11,0)))-Parametros!$B$3)</f>
      </c>
      <c r="J11" s="4">
        <f>MIN(Parametros!$B$16,MAX(Parametros!$B$15,MIN(Parametros!$B$16,ROUND(INDEX(Parametros!$F$10:$F$13,MATCH($C11,Parametros!$A$10:$A$13,0))+INDEX(Parametros!$G$10:$G$13,MATCH($C11,Parametros!$A$10:$A$13,0))*$A11,0)))+Parametros!$B$3)</f>
      </c>
    </row>
    <row r="12">
      <c r="A12" s="4">
        <v>2</v>
      </c>
      <c r="B12" s="4" t="inlineStr">
        <is>
          <t xml:space="preserve">Poco común</t>
        </is>
      </c>
      <c r="C12" s="4" t="inlineStr">
        <is>
          <t xml:space="preserve">DC</t>
        </is>
      </c>
      <c r="D12" s="4" t="inlineStr">
        <is>
          <t xml:space="preserve">Delantero</t>
        </is>
      </c>
      <c r="E12" s="4">
        <f>MAX(Parametros!$B$15,MAX(Parametros!$B$15,MIN(Parametros!$B$16,ROUND(INDEX(Parametros!$B$10:$B$13,MATCH($C12,Parametros!$A$10:$A$13,0))+INDEX(Parametros!$C$10:$C$13,MATCH($C12,Parametros!$A$10:$A$13,0))*$A12,0)))-Parametros!$B$3)</f>
      </c>
      <c r="F12" s="4">
        <f>MIN(Parametros!$B$16,MAX(Parametros!$B$15,MIN(Parametros!$B$16,ROUND(INDEX(Parametros!$B$10:$B$13,MATCH($C12,Parametros!$A$10:$A$13,0))+INDEX(Parametros!$C$10:$C$13,MATCH($C12,Parametros!$A$10:$A$13,0))*$A12,0)))+Parametros!$B$3)</f>
      </c>
      <c r="G12" s="4">
        <f>MAX(Parametros!$B$15,MAX(Parametros!$B$15,MIN(Parametros!$B$16,ROUND(INDEX(Parametros!$D$10:$D$13,MATCH($C12,Parametros!$A$10:$A$13,0))+INDEX(Parametros!$E$10:$E$13,MATCH($C12,Parametros!$A$10:$A$13,0))*$A12,0)))-Parametros!$B$3)</f>
      </c>
      <c r="H12" s="4">
        <f>MIN(Parametros!$B$16,MAX(Parametros!$B$15,MIN(Parametros!$B$16,ROUND(INDEX(Parametros!$D$10:$D$13,MATCH($C12,Parametros!$A$10:$A$13,0))+INDEX(Parametros!$E$10:$E$13,MATCH($C12,Parametros!$A$10:$A$13,0))*$A12,0)))+Parametros!$B$3)</f>
      </c>
      <c r="I12" s="4">
        <f>MAX(Parametros!$B$15,MAX(Parametros!$B$15,MIN(Parametros!$B$16,ROUND(INDEX(Parametros!$F$10:$F$13,MATCH($C12,Parametros!$A$10:$A$13,0))+INDEX(Parametros!$G$10:$G$13,MATCH($C12,Parametros!$A$10:$A$13,0))*$A12,0)))-Parametros!$B$3)</f>
      </c>
      <c r="J12" s="4">
        <f>MIN(Parametros!$B$16,MAX(Parametros!$B$15,MIN(Parametros!$B$16,ROUND(INDEX(Parametros!$F$10:$F$13,MATCH($C12,Parametros!$A$10:$A$13,0))+INDEX(Parametros!$G$10:$G$13,MATCH($C12,Parametros!$A$10:$A$13,0))*$A12,0)))+Parametros!$B$3)</f>
      </c>
    </row>
    <row r="13">
      <c r="A13" s="4">
        <v>3</v>
      </c>
      <c r="B13" s="4" t="inlineStr">
        <is>
          <t xml:space="preserve">Raro</t>
        </is>
      </c>
      <c r="C13" s="4" t="inlineStr">
        <is>
          <t xml:space="preserve">POR</t>
        </is>
      </c>
      <c r="D13" s="4" t="inlineStr">
        <is>
          <t xml:space="preserve">Portero</t>
        </is>
      </c>
      <c r="E13" s="4">
        <f>MAX(Parametros!$B$15,MAX(Parametros!$B$15,MIN(Parametros!$B$16,ROUND(INDEX(Parametros!$B$10:$B$13,MATCH($C13,Parametros!$A$10:$A$13,0))+INDEX(Parametros!$C$10:$C$13,MATCH($C13,Parametros!$A$10:$A$13,0))*$A13,0)))-Parametros!$B$3)</f>
      </c>
      <c r="F13" s="4">
        <f>MIN(Parametros!$B$16,MAX(Parametros!$B$15,MIN(Parametros!$B$16,ROUND(INDEX(Parametros!$B$10:$B$13,MATCH($C13,Parametros!$A$10:$A$13,0))+INDEX(Parametros!$C$10:$C$13,MATCH($C13,Parametros!$A$10:$A$13,0))*$A13,0)))+Parametros!$B$3)</f>
      </c>
      <c r="G13" s="4">
        <f>MAX(Parametros!$B$15,MAX(Parametros!$B$15,MIN(Parametros!$B$16,ROUND(INDEX(Parametros!$D$10:$D$13,MATCH($C13,Parametros!$A$10:$A$13,0))+INDEX(Parametros!$E$10:$E$13,MATCH($C13,Parametros!$A$10:$A$13,0))*$A13,0)))-Parametros!$B$3)</f>
      </c>
      <c r="H13" s="4">
        <f>MIN(Parametros!$B$16,MAX(Parametros!$B$15,MIN(Parametros!$B$16,ROUND(INDEX(Parametros!$D$10:$D$13,MATCH($C13,Parametros!$A$10:$A$13,0))+INDEX(Parametros!$E$10:$E$13,MATCH($C13,Parametros!$A$10:$A$13,0))*$A13,0)))+Parametros!$B$3)</f>
      </c>
      <c r="I13" s="4">
        <f>MAX(Parametros!$B$15,MAX(Parametros!$B$15,MIN(Parametros!$B$16,ROUND(INDEX(Parametros!$F$10:$F$13,MATCH($C13,Parametros!$A$10:$A$13,0))+INDEX(Parametros!$G$10:$G$13,MATCH($C13,Parametros!$A$10:$A$13,0))*$A13,0)))-Parametros!$B$3)</f>
      </c>
      <c r="J13" s="4">
        <f>MIN(Parametros!$B$16,MAX(Parametros!$B$15,MIN(Parametros!$B$16,ROUND(INDEX(Parametros!$F$10:$F$13,MATCH($C13,Parametros!$A$10:$A$13,0))+INDEX(Parametros!$G$10:$G$13,MATCH($C13,Parametros!$A$10:$A$13,0))*$A13,0)))+Parametros!$B$3)</f>
      </c>
    </row>
    <row r="14">
      <c r="A14" s="4">
        <v>3</v>
      </c>
      <c r="B14" s="4" t="inlineStr">
        <is>
          <t xml:space="preserve">Raro</t>
        </is>
      </c>
      <c r="C14" s="4" t="inlineStr">
        <is>
          <t xml:space="preserve">DF</t>
        </is>
      </c>
      <c r="D14" s="4" t="inlineStr">
        <is>
          <t xml:space="preserve">Defensa</t>
        </is>
      </c>
      <c r="E14" s="4">
        <f>MAX(Parametros!$B$15,MAX(Parametros!$B$15,MIN(Parametros!$B$16,ROUND(INDEX(Parametros!$B$10:$B$13,MATCH($C14,Parametros!$A$10:$A$13,0))+INDEX(Parametros!$C$10:$C$13,MATCH($C14,Parametros!$A$10:$A$13,0))*$A14,0)))-Parametros!$B$3)</f>
      </c>
      <c r="F14" s="4">
        <f>MIN(Parametros!$B$16,MAX(Parametros!$B$15,MIN(Parametros!$B$16,ROUND(INDEX(Parametros!$B$10:$B$13,MATCH($C14,Parametros!$A$10:$A$13,0))+INDEX(Parametros!$C$10:$C$13,MATCH($C14,Parametros!$A$10:$A$13,0))*$A14,0)))+Parametros!$B$3)</f>
      </c>
      <c r="G14" s="4">
        <f>MAX(Parametros!$B$15,MAX(Parametros!$B$15,MIN(Parametros!$B$16,ROUND(INDEX(Parametros!$D$10:$D$13,MATCH($C14,Parametros!$A$10:$A$13,0))+INDEX(Parametros!$E$10:$E$13,MATCH($C14,Parametros!$A$10:$A$13,0))*$A14,0)))-Parametros!$B$3)</f>
      </c>
      <c r="H14" s="4">
        <f>MIN(Parametros!$B$16,MAX(Parametros!$B$15,MIN(Parametros!$B$16,ROUND(INDEX(Parametros!$D$10:$D$13,MATCH($C14,Parametros!$A$10:$A$13,0))+INDEX(Parametros!$E$10:$E$13,MATCH($C14,Parametros!$A$10:$A$13,0))*$A14,0)))+Parametros!$B$3)</f>
      </c>
      <c r="I14" s="4">
        <f>MAX(Parametros!$B$15,MAX(Parametros!$B$15,MIN(Parametros!$B$16,ROUND(INDEX(Parametros!$F$10:$F$13,MATCH($C14,Parametros!$A$10:$A$13,0))+INDEX(Parametros!$G$10:$G$13,MATCH($C14,Parametros!$A$10:$A$13,0))*$A14,0)))-Parametros!$B$3)</f>
      </c>
      <c r="J14" s="4">
        <f>MIN(Parametros!$B$16,MAX(Parametros!$B$15,MIN(Parametros!$B$16,ROUND(INDEX(Parametros!$F$10:$F$13,MATCH($C14,Parametros!$A$10:$A$13,0))+INDEX(Parametros!$G$10:$G$13,MATCH($C14,Parametros!$A$10:$A$13,0))*$A14,0)))+Parametros!$B$3)</f>
      </c>
    </row>
    <row r="15">
      <c r="A15" s="4">
        <v>3</v>
      </c>
      <c r="B15" s="4" t="inlineStr">
        <is>
          <t xml:space="preserve">Raro</t>
        </is>
      </c>
      <c r="C15" s="4" t="inlineStr">
        <is>
          <t xml:space="preserve">MC</t>
        </is>
      </c>
      <c r="D15" s="4" t="inlineStr">
        <is>
          <t xml:space="preserve">Centrocampista</t>
        </is>
      </c>
      <c r="E15" s="4">
        <f>MAX(Parametros!$B$15,MAX(Parametros!$B$15,MIN(Parametros!$B$16,ROUND(INDEX(Parametros!$B$10:$B$13,MATCH($C15,Parametros!$A$10:$A$13,0))+INDEX(Parametros!$C$10:$C$13,MATCH($C15,Parametros!$A$10:$A$13,0))*$A15,0)))-Parametros!$B$3)</f>
      </c>
      <c r="F15" s="4">
        <f>MIN(Parametros!$B$16,MAX(Parametros!$B$15,MIN(Parametros!$B$16,ROUND(INDEX(Parametros!$B$10:$B$13,MATCH($C15,Parametros!$A$10:$A$13,0))+INDEX(Parametros!$C$10:$C$13,MATCH($C15,Parametros!$A$10:$A$13,0))*$A15,0)))+Parametros!$B$3)</f>
      </c>
      <c r="G15" s="4">
        <f>MAX(Parametros!$B$15,MAX(Parametros!$B$15,MIN(Parametros!$B$16,ROUND(INDEX(Parametros!$D$10:$D$13,MATCH($C15,Parametros!$A$10:$A$13,0))+INDEX(Parametros!$E$10:$E$13,MATCH($C15,Parametros!$A$10:$A$13,0))*$A15,0)))-Parametros!$B$3)</f>
      </c>
      <c r="H15" s="4">
        <f>MIN(Parametros!$B$16,MAX(Parametros!$B$15,MIN(Parametros!$B$16,ROUND(INDEX(Parametros!$D$10:$D$13,MATCH($C15,Parametros!$A$10:$A$13,0))+INDEX(Parametros!$E$10:$E$13,MATCH($C15,Parametros!$A$10:$A$13,0))*$A15,0)))+Parametros!$B$3)</f>
      </c>
      <c r="I15" s="4">
        <f>MAX(Parametros!$B$15,MAX(Parametros!$B$15,MIN(Parametros!$B$16,ROUND(INDEX(Parametros!$F$10:$F$13,MATCH($C15,Parametros!$A$10:$A$13,0))+INDEX(Parametros!$G$10:$G$13,MATCH($C15,Parametros!$A$10:$A$13,0))*$A15,0)))-Parametros!$B$3)</f>
      </c>
      <c r="J15" s="4">
        <f>MIN(Parametros!$B$16,MAX(Parametros!$B$15,MIN(Parametros!$B$16,ROUND(INDEX(Parametros!$F$10:$F$13,MATCH($C15,Parametros!$A$10:$A$13,0))+INDEX(Parametros!$G$10:$G$13,MATCH($C15,Parametros!$A$10:$A$13,0))*$A15,0)))+Parametros!$B$3)</f>
      </c>
    </row>
    <row r="16">
      <c r="A16" s="4">
        <v>3</v>
      </c>
      <c r="B16" s="4" t="inlineStr">
        <is>
          <t xml:space="preserve">Raro</t>
        </is>
      </c>
      <c r="C16" s="4" t="inlineStr">
        <is>
          <t xml:space="preserve">DC</t>
        </is>
      </c>
      <c r="D16" s="4" t="inlineStr">
        <is>
          <t xml:space="preserve">Delantero</t>
        </is>
      </c>
      <c r="E16" s="4">
        <f>MAX(Parametros!$B$15,MAX(Parametros!$B$15,MIN(Parametros!$B$16,ROUND(INDEX(Parametros!$B$10:$B$13,MATCH($C16,Parametros!$A$10:$A$13,0))+INDEX(Parametros!$C$10:$C$13,MATCH($C16,Parametros!$A$10:$A$13,0))*$A16,0)))-Parametros!$B$3)</f>
      </c>
      <c r="F16" s="4">
        <f>MIN(Parametros!$B$16,MAX(Parametros!$B$15,MIN(Parametros!$B$16,ROUND(INDEX(Parametros!$B$10:$B$13,MATCH($C16,Parametros!$A$10:$A$13,0))+INDEX(Parametros!$C$10:$C$13,MATCH($C16,Parametros!$A$10:$A$13,0))*$A16,0)))+Parametros!$B$3)</f>
      </c>
      <c r="G16" s="4">
        <f>MAX(Parametros!$B$15,MAX(Parametros!$B$15,MIN(Parametros!$B$16,ROUND(INDEX(Parametros!$D$10:$D$13,MATCH($C16,Parametros!$A$10:$A$13,0))+INDEX(Parametros!$E$10:$E$13,MATCH($C16,Parametros!$A$10:$A$13,0))*$A16,0)))-Parametros!$B$3)</f>
      </c>
      <c r="H16" s="4">
        <f>MIN(Parametros!$B$16,MAX(Parametros!$B$15,MIN(Parametros!$B$16,ROUND(INDEX(Parametros!$D$10:$D$13,MATCH($C16,Parametros!$A$10:$A$13,0))+INDEX(Parametros!$E$10:$E$13,MATCH($C16,Parametros!$A$10:$A$13,0))*$A16,0)))+Parametros!$B$3)</f>
      </c>
      <c r="I16" s="4">
        <f>MAX(Parametros!$B$15,MAX(Parametros!$B$15,MIN(Parametros!$B$16,ROUND(INDEX(Parametros!$F$10:$F$13,MATCH($C16,Parametros!$A$10:$A$13,0))+INDEX(Parametros!$G$10:$G$13,MATCH($C16,Parametros!$A$10:$A$13,0))*$A16,0)))-Parametros!$B$3)</f>
      </c>
      <c r="J16" s="4">
        <f>MIN(Parametros!$B$16,MAX(Parametros!$B$15,MIN(Parametros!$B$16,ROUND(INDEX(Parametros!$F$10:$F$13,MATCH($C16,Parametros!$A$10:$A$13,0))+INDEX(Parametros!$G$10:$G$13,MATCH($C16,Parametros!$A$10:$A$13,0))*$A16,0)))+Parametros!$B$3)</f>
      </c>
    </row>
    <row r="17">
      <c r="A17" s="4">
        <v>4</v>
      </c>
      <c r="B17" s="4" t="inlineStr">
        <is>
          <t xml:space="preserve">Épico</t>
        </is>
      </c>
      <c r="C17" s="4" t="inlineStr">
        <is>
          <t xml:space="preserve">POR</t>
        </is>
      </c>
      <c r="D17" s="4" t="inlineStr">
        <is>
          <t xml:space="preserve">Portero</t>
        </is>
      </c>
      <c r="E17" s="4">
        <f>MAX(Parametros!$B$15,MAX(Parametros!$B$15,MIN(Parametros!$B$16,ROUND(INDEX(Parametros!$B$10:$B$13,MATCH($C17,Parametros!$A$10:$A$13,0))+INDEX(Parametros!$C$10:$C$13,MATCH($C17,Parametros!$A$10:$A$13,0))*$A17,0)))-Parametros!$B$3)</f>
      </c>
      <c r="F17" s="4">
        <f>MIN(Parametros!$B$16,MAX(Parametros!$B$15,MIN(Parametros!$B$16,ROUND(INDEX(Parametros!$B$10:$B$13,MATCH($C17,Parametros!$A$10:$A$13,0))+INDEX(Parametros!$C$10:$C$13,MATCH($C17,Parametros!$A$10:$A$13,0))*$A17,0)))+Parametros!$B$3)</f>
      </c>
      <c r="G17" s="4">
        <f>MAX(Parametros!$B$15,MAX(Parametros!$B$15,MIN(Parametros!$B$16,ROUND(INDEX(Parametros!$D$10:$D$13,MATCH($C17,Parametros!$A$10:$A$13,0))+INDEX(Parametros!$E$10:$E$13,MATCH($C17,Parametros!$A$10:$A$13,0))*$A17,0)))-Parametros!$B$3)</f>
      </c>
      <c r="H17" s="4">
        <f>MIN(Parametros!$B$16,MAX(Parametros!$B$15,MIN(Parametros!$B$16,ROUND(INDEX(Parametros!$D$10:$D$13,MATCH($C17,Parametros!$A$10:$A$13,0))+INDEX(Parametros!$E$10:$E$13,MATCH($C17,Parametros!$A$10:$A$13,0))*$A17,0)))+Parametros!$B$3)</f>
      </c>
      <c r="I17" s="4">
        <f>MAX(Parametros!$B$15,MAX(Parametros!$B$15,MIN(Parametros!$B$16,ROUND(INDEX(Parametros!$F$10:$F$13,MATCH($C17,Parametros!$A$10:$A$13,0))+INDEX(Parametros!$G$10:$G$13,MATCH($C17,Parametros!$A$10:$A$13,0))*$A17,0)))-Parametros!$B$3)</f>
      </c>
      <c r="J17" s="4">
        <f>MIN(Parametros!$B$16,MAX(Parametros!$B$15,MIN(Parametros!$B$16,ROUND(INDEX(Parametros!$F$10:$F$13,MATCH($C17,Parametros!$A$10:$A$13,0))+INDEX(Parametros!$G$10:$G$13,MATCH($C17,Parametros!$A$10:$A$13,0))*$A17,0)))+Parametros!$B$3)</f>
      </c>
    </row>
    <row r="18">
      <c r="A18" s="4">
        <v>4</v>
      </c>
      <c r="B18" s="4" t="inlineStr">
        <is>
          <t xml:space="preserve">Épico</t>
        </is>
      </c>
      <c r="C18" s="4" t="inlineStr">
        <is>
          <t xml:space="preserve">DF</t>
        </is>
      </c>
      <c r="D18" s="4" t="inlineStr">
        <is>
          <t xml:space="preserve">Defensa</t>
        </is>
      </c>
      <c r="E18" s="4">
        <f>MAX(Parametros!$B$15,MAX(Parametros!$B$15,MIN(Parametros!$B$16,ROUND(INDEX(Parametros!$B$10:$B$13,MATCH($C18,Parametros!$A$10:$A$13,0))+INDEX(Parametros!$C$10:$C$13,MATCH($C18,Parametros!$A$10:$A$13,0))*$A18,0)))-Parametros!$B$3)</f>
      </c>
      <c r="F18" s="4">
        <f>MIN(Parametros!$B$16,MAX(Parametros!$B$15,MIN(Parametros!$B$16,ROUND(INDEX(Parametros!$B$10:$B$13,MATCH($C18,Parametros!$A$10:$A$13,0))+INDEX(Parametros!$C$10:$C$13,MATCH($C18,Parametros!$A$10:$A$13,0))*$A18,0)))+Parametros!$B$3)</f>
      </c>
      <c r="G18" s="4">
        <f>MAX(Parametros!$B$15,MAX(Parametros!$B$15,MIN(Parametros!$B$16,ROUND(INDEX(Parametros!$D$10:$D$13,MATCH($C18,Parametros!$A$10:$A$13,0))+INDEX(Parametros!$E$10:$E$13,MATCH($C18,Parametros!$A$10:$A$13,0))*$A18,0)))-Parametros!$B$3)</f>
      </c>
      <c r="H18" s="4">
        <f>MIN(Parametros!$B$16,MAX(Parametros!$B$15,MIN(Parametros!$B$16,ROUND(INDEX(Parametros!$D$10:$D$13,MATCH($C18,Parametros!$A$10:$A$13,0))+INDEX(Parametros!$E$10:$E$13,MATCH($C18,Parametros!$A$10:$A$13,0))*$A18,0)))+Parametros!$B$3)</f>
      </c>
      <c r="I18" s="4">
        <f>MAX(Parametros!$B$15,MAX(Parametros!$B$15,MIN(Parametros!$B$16,ROUND(INDEX(Parametros!$F$10:$F$13,MATCH($C18,Parametros!$A$10:$A$13,0))+INDEX(Parametros!$G$10:$G$13,MATCH($C18,Parametros!$A$10:$A$13,0))*$A18,0)))-Parametros!$B$3)</f>
      </c>
      <c r="J18" s="4">
        <f>MIN(Parametros!$B$16,MAX(Parametros!$B$15,MIN(Parametros!$B$16,ROUND(INDEX(Parametros!$F$10:$F$13,MATCH($C18,Parametros!$A$10:$A$13,0))+INDEX(Parametros!$G$10:$G$13,MATCH($C18,Parametros!$A$10:$A$13,0))*$A18,0)))+Parametros!$B$3)</f>
      </c>
    </row>
    <row r="19">
      <c r="A19" s="4">
        <v>4</v>
      </c>
      <c r="B19" s="4" t="inlineStr">
        <is>
          <t xml:space="preserve">Épico</t>
        </is>
      </c>
      <c r="C19" s="4" t="inlineStr">
        <is>
          <t xml:space="preserve">MC</t>
        </is>
      </c>
      <c r="D19" s="4" t="inlineStr">
        <is>
          <t xml:space="preserve">Centrocampista</t>
        </is>
      </c>
      <c r="E19" s="4">
        <f>MAX(Parametros!$B$15,MAX(Parametros!$B$15,MIN(Parametros!$B$16,ROUND(INDEX(Parametros!$B$10:$B$13,MATCH($C19,Parametros!$A$10:$A$13,0))+INDEX(Parametros!$C$10:$C$13,MATCH($C19,Parametros!$A$10:$A$13,0))*$A19,0)))-Parametros!$B$3)</f>
      </c>
      <c r="F19" s="4">
        <f>MIN(Parametros!$B$16,MAX(Parametros!$B$15,MIN(Parametros!$B$16,ROUND(INDEX(Parametros!$B$10:$B$13,MATCH($C19,Parametros!$A$10:$A$13,0))+INDEX(Parametros!$C$10:$C$13,MATCH($C19,Parametros!$A$10:$A$13,0))*$A19,0)))+Parametros!$B$3)</f>
      </c>
      <c r="G19" s="4">
        <f>MAX(Parametros!$B$15,MAX(Parametros!$B$15,MIN(Parametros!$B$16,ROUND(INDEX(Parametros!$D$10:$D$13,MATCH($C19,Parametros!$A$10:$A$13,0))+INDEX(Parametros!$E$10:$E$13,MATCH($C19,Parametros!$A$10:$A$13,0))*$A19,0)))-Parametros!$B$3)</f>
      </c>
      <c r="H19" s="4">
        <f>MIN(Parametros!$B$16,MAX(Parametros!$B$15,MIN(Parametros!$B$16,ROUND(INDEX(Parametros!$D$10:$D$13,MATCH($C19,Parametros!$A$10:$A$13,0))+INDEX(Parametros!$E$10:$E$13,MATCH($C19,Parametros!$A$10:$A$13,0))*$A19,0)))+Parametros!$B$3)</f>
      </c>
      <c r="I19" s="4">
        <f>MAX(Parametros!$B$15,MAX(Parametros!$B$15,MIN(Parametros!$B$16,ROUND(INDEX(Parametros!$F$10:$F$13,MATCH($C19,Parametros!$A$10:$A$13,0))+INDEX(Parametros!$G$10:$G$13,MATCH($C19,Parametros!$A$10:$A$13,0))*$A19,0)))-Parametros!$B$3)</f>
      </c>
      <c r="J19" s="4">
        <f>MIN(Parametros!$B$16,MAX(Parametros!$B$15,MIN(Parametros!$B$16,ROUND(INDEX(Parametros!$F$10:$F$13,MATCH($C19,Parametros!$A$10:$A$13,0))+INDEX(Parametros!$G$10:$G$13,MATCH($C19,Parametros!$A$10:$A$13,0))*$A19,0)))+Parametros!$B$3)</f>
      </c>
    </row>
    <row r="20">
      <c r="A20" s="4">
        <v>4</v>
      </c>
      <c r="B20" s="4" t="inlineStr">
        <is>
          <t xml:space="preserve">Épico</t>
        </is>
      </c>
      <c r="C20" s="4" t="inlineStr">
        <is>
          <t xml:space="preserve">DC</t>
        </is>
      </c>
      <c r="D20" s="4" t="inlineStr">
        <is>
          <t xml:space="preserve">Delantero</t>
        </is>
      </c>
      <c r="E20" s="4">
        <f>MAX(Parametros!$B$15,MAX(Parametros!$B$15,MIN(Parametros!$B$16,ROUND(INDEX(Parametros!$B$10:$B$13,MATCH($C20,Parametros!$A$10:$A$13,0))+INDEX(Parametros!$C$10:$C$13,MATCH($C20,Parametros!$A$10:$A$13,0))*$A20,0)))-Parametros!$B$3)</f>
      </c>
      <c r="F20" s="4">
        <f>MIN(Parametros!$B$16,MAX(Parametros!$B$15,MIN(Parametros!$B$16,ROUND(INDEX(Parametros!$B$10:$B$13,MATCH($C20,Parametros!$A$10:$A$13,0))+INDEX(Parametros!$C$10:$C$13,MATCH($C20,Parametros!$A$10:$A$13,0))*$A20,0)))+Parametros!$B$3)</f>
      </c>
      <c r="G20" s="4">
        <f>MAX(Parametros!$B$15,MAX(Parametros!$B$15,MIN(Parametros!$B$16,ROUND(INDEX(Parametros!$D$10:$D$13,MATCH($C20,Parametros!$A$10:$A$13,0))+INDEX(Parametros!$E$10:$E$13,MATCH($C20,Parametros!$A$10:$A$13,0))*$A20,0)))-Parametros!$B$3)</f>
      </c>
      <c r="H20" s="4">
        <f>MIN(Parametros!$B$16,MAX(Parametros!$B$15,MIN(Parametros!$B$16,ROUND(INDEX(Parametros!$D$10:$D$13,MATCH($C20,Parametros!$A$10:$A$13,0))+INDEX(Parametros!$E$10:$E$13,MATCH($C20,Parametros!$A$10:$A$13,0))*$A20,0)))+Parametros!$B$3)</f>
      </c>
      <c r="I20" s="4">
        <f>MAX(Parametros!$B$15,MAX(Parametros!$B$15,MIN(Parametros!$B$16,ROUND(INDEX(Parametros!$F$10:$F$13,MATCH($C20,Parametros!$A$10:$A$13,0))+INDEX(Parametros!$G$10:$G$13,MATCH($C20,Parametros!$A$10:$A$13,0))*$A20,0)))-Parametros!$B$3)</f>
      </c>
      <c r="J20" s="4">
        <f>MIN(Parametros!$B$16,MAX(Parametros!$B$15,MIN(Parametros!$B$16,ROUND(INDEX(Parametros!$F$10:$F$13,MATCH($C20,Parametros!$A$10:$A$13,0))+INDEX(Parametros!$G$10:$G$13,MATCH($C20,Parametros!$A$10:$A$13,0))*$A20,0)))+Parametros!$B$3)</f>
      </c>
    </row>
    <row r="21">
      <c r="A21" s="4">
        <v>5</v>
      </c>
      <c r="B21" s="4" t="inlineStr">
        <is>
          <t xml:space="preserve">Legendario</t>
        </is>
      </c>
      <c r="C21" s="4" t="inlineStr">
        <is>
          <t xml:space="preserve">POR</t>
        </is>
      </c>
      <c r="D21" s="4" t="inlineStr">
        <is>
          <t xml:space="preserve">Portero</t>
        </is>
      </c>
      <c r="E21" s="4">
        <f>MAX(Parametros!$B$15,MAX(Parametros!$B$15,MIN(Parametros!$B$16,ROUND(INDEX(Parametros!$B$10:$B$13,MATCH($C21,Parametros!$A$10:$A$13,0))+INDEX(Parametros!$C$10:$C$13,MATCH($C21,Parametros!$A$10:$A$13,0))*$A21,0)))-Parametros!$B$3)</f>
      </c>
      <c r="F21" s="4">
        <f>MIN(Parametros!$B$16,MAX(Parametros!$B$15,MIN(Parametros!$B$16,ROUND(INDEX(Parametros!$B$10:$B$13,MATCH($C21,Parametros!$A$10:$A$13,0))+INDEX(Parametros!$C$10:$C$13,MATCH($C21,Parametros!$A$10:$A$13,0))*$A21,0)))+Parametros!$B$3)</f>
      </c>
      <c r="G21" s="4">
        <f>MAX(Parametros!$B$15,MAX(Parametros!$B$15,MIN(Parametros!$B$16,ROUND(INDEX(Parametros!$D$10:$D$13,MATCH($C21,Parametros!$A$10:$A$13,0))+INDEX(Parametros!$E$10:$E$13,MATCH($C21,Parametros!$A$10:$A$13,0))*$A21,0)))-Parametros!$B$3)</f>
      </c>
      <c r="H21" s="4">
        <f>MIN(Parametros!$B$16,MAX(Parametros!$B$15,MIN(Parametros!$B$16,ROUND(INDEX(Parametros!$D$10:$D$13,MATCH($C21,Parametros!$A$10:$A$13,0))+INDEX(Parametros!$E$10:$E$13,MATCH($C21,Parametros!$A$10:$A$13,0))*$A21,0)))+Parametros!$B$3)</f>
      </c>
      <c r="I21" s="4">
        <f>MAX(Parametros!$B$15,MAX(Parametros!$B$15,MIN(Parametros!$B$16,ROUND(INDEX(Parametros!$F$10:$F$13,MATCH($C21,Parametros!$A$10:$A$13,0))+INDEX(Parametros!$G$10:$G$13,MATCH($C21,Parametros!$A$10:$A$13,0))*$A21,0)))-Parametros!$B$3)</f>
      </c>
      <c r="J21" s="4">
        <f>MIN(Parametros!$B$16,MAX(Parametros!$B$15,MIN(Parametros!$B$16,ROUND(INDEX(Parametros!$F$10:$F$13,MATCH($C21,Parametros!$A$10:$A$13,0))+INDEX(Parametros!$G$10:$G$13,MATCH($C21,Parametros!$A$10:$A$13,0))*$A21,0)))+Parametros!$B$3)</f>
      </c>
    </row>
    <row r="22">
      <c r="A22" s="4">
        <v>5</v>
      </c>
      <c r="B22" s="4" t="inlineStr">
        <is>
          <t xml:space="preserve">Legendario</t>
        </is>
      </c>
      <c r="C22" s="4" t="inlineStr">
        <is>
          <t xml:space="preserve">DF</t>
        </is>
      </c>
      <c r="D22" s="4" t="inlineStr">
        <is>
          <t xml:space="preserve">Defensa</t>
        </is>
      </c>
      <c r="E22" s="4">
        <f>MAX(Parametros!$B$15,MAX(Parametros!$B$15,MIN(Parametros!$B$16,ROUND(INDEX(Parametros!$B$10:$B$13,MATCH($C22,Parametros!$A$10:$A$13,0))+INDEX(Parametros!$C$10:$C$13,MATCH($C22,Parametros!$A$10:$A$13,0))*$A22,0)))-Parametros!$B$3)</f>
      </c>
      <c r="F22" s="4">
        <f>MIN(Parametros!$B$16,MAX(Parametros!$B$15,MIN(Parametros!$B$16,ROUND(INDEX(Parametros!$B$10:$B$13,MATCH($C22,Parametros!$A$10:$A$13,0))+INDEX(Parametros!$C$10:$C$13,MATCH($C22,Parametros!$A$10:$A$13,0))*$A22,0)))+Parametros!$B$3)</f>
      </c>
      <c r="G22" s="4">
        <f>MAX(Parametros!$B$15,MAX(Parametros!$B$15,MIN(Parametros!$B$16,ROUND(INDEX(Parametros!$D$10:$D$13,MATCH($C22,Parametros!$A$10:$A$13,0))+INDEX(Parametros!$E$10:$E$13,MATCH($C22,Parametros!$A$10:$A$13,0))*$A22,0)))-Parametros!$B$3)</f>
      </c>
      <c r="H22" s="4">
        <f>MIN(Parametros!$B$16,MAX(Parametros!$B$15,MIN(Parametros!$B$16,ROUND(INDEX(Parametros!$D$10:$D$13,MATCH($C22,Parametros!$A$10:$A$13,0))+INDEX(Parametros!$E$10:$E$13,MATCH($C22,Parametros!$A$10:$A$13,0))*$A22,0)))+Parametros!$B$3)</f>
      </c>
      <c r="I22" s="4">
        <f>MAX(Parametros!$B$15,MAX(Parametros!$B$15,MIN(Parametros!$B$16,ROUND(INDEX(Parametros!$F$10:$F$13,MATCH($C22,Parametros!$A$10:$A$13,0))+INDEX(Parametros!$G$10:$G$13,MATCH($C22,Parametros!$A$10:$A$13,0))*$A22,0)))-Parametros!$B$3)</f>
      </c>
      <c r="J22" s="4">
        <f>MIN(Parametros!$B$16,MAX(Parametros!$B$15,MIN(Parametros!$B$16,ROUND(INDEX(Parametros!$F$10:$F$13,MATCH($C22,Parametros!$A$10:$A$13,0))+INDEX(Parametros!$G$10:$G$13,MATCH($C22,Parametros!$A$10:$A$13,0))*$A22,0)))+Parametros!$B$3)</f>
      </c>
    </row>
    <row r="23">
      <c r="A23" s="4">
        <v>5</v>
      </c>
      <c r="B23" s="4" t="inlineStr">
        <is>
          <t xml:space="preserve">Legendario</t>
        </is>
      </c>
      <c r="C23" s="4" t="inlineStr">
        <is>
          <t xml:space="preserve">MC</t>
        </is>
      </c>
      <c r="D23" s="4" t="inlineStr">
        <is>
          <t xml:space="preserve">Centrocampista</t>
        </is>
      </c>
      <c r="E23" s="4">
        <f>MAX(Parametros!$B$15,MAX(Parametros!$B$15,MIN(Parametros!$B$16,ROUND(INDEX(Parametros!$B$10:$B$13,MATCH($C23,Parametros!$A$10:$A$13,0))+INDEX(Parametros!$C$10:$C$13,MATCH($C23,Parametros!$A$10:$A$13,0))*$A23,0)))-Parametros!$B$3)</f>
      </c>
      <c r="F23" s="4">
        <f>MIN(Parametros!$B$16,MAX(Parametros!$B$15,MIN(Parametros!$B$16,ROUND(INDEX(Parametros!$B$10:$B$13,MATCH($C23,Parametros!$A$10:$A$13,0))+INDEX(Parametros!$C$10:$C$13,MATCH($C23,Parametros!$A$10:$A$13,0))*$A23,0)))+Parametros!$B$3)</f>
      </c>
      <c r="G23" s="4">
        <f>MAX(Parametros!$B$15,MAX(Parametros!$B$15,MIN(Parametros!$B$16,ROUND(INDEX(Parametros!$D$10:$D$13,MATCH($C23,Parametros!$A$10:$A$13,0))+INDEX(Parametros!$E$10:$E$13,MATCH($C23,Parametros!$A$10:$A$13,0))*$A23,0)))-Parametros!$B$3)</f>
      </c>
      <c r="H23" s="4">
        <f>MIN(Parametros!$B$16,MAX(Parametros!$B$15,MIN(Parametros!$B$16,ROUND(INDEX(Parametros!$D$10:$D$13,MATCH($C23,Parametros!$A$10:$A$13,0))+INDEX(Parametros!$E$10:$E$13,MATCH($C23,Parametros!$A$10:$A$13,0))*$A23,0)))+Parametros!$B$3)</f>
      </c>
      <c r="I23" s="4">
        <f>MAX(Parametros!$B$15,MAX(Parametros!$B$15,MIN(Parametros!$B$16,ROUND(INDEX(Parametros!$F$10:$F$13,MATCH($C23,Parametros!$A$10:$A$13,0))+INDEX(Parametros!$G$10:$G$13,MATCH($C23,Parametros!$A$10:$A$13,0))*$A23,0)))-Parametros!$B$3)</f>
      </c>
      <c r="J23" s="4">
        <f>MIN(Parametros!$B$16,MAX(Parametros!$B$15,MIN(Parametros!$B$16,ROUND(INDEX(Parametros!$F$10:$F$13,MATCH($C23,Parametros!$A$10:$A$13,0))+INDEX(Parametros!$G$10:$G$13,MATCH($C23,Parametros!$A$10:$A$13,0))*$A23,0)))+Parametros!$B$3)</f>
      </c>
    </row>
    <row r="24">
      <c r="A24" s="4">
        <v>5</v>
      </c>
      <c r="B24" s="4" t="inlineStr">
        <is>
          <t xml:space="preserve">Legendario</t>
        </is>
      </c>
      <c r="C24" s="4" t="inlineStr">
        <is>
          <t xml:space="preserve">DC</t>
        </is>
      </c>
      <c r="D24" s="4" t="inlineStr">
        <is>
          <t xml:space="preserve">Delantero</t>
        </is>
      </c>
      <c r="E24" s="4">
        <f>MAX(Parametros!$B$15,MAX(Parametros!$B$15,MIN(Parametros!$B$16,ROUND(INDEX(Parametros!$B$10:$B$13,MATCH($C24,Parametros!$A$10:$A$13,0))+INDEX(Parametros!$C$10:$C$13,MATCH($C24,Parametros!$A$10:$A$13,0))*$A24,0)))-Parametros!$B$3)</f>
      </c>
      <c r="F24" s="4">
        <f>MIN(Parametros!$B$16,MAX(Parametros!$B$15,MIN(Parametros!$B$16,ROUND(INDEX(Parametros!$B$10:$B$13,MATCH($C24,Parametros!$A$10:$A$13,0))+INDEX(Parametros!$C$10:$C$13,MATCH($C24,Parametros!$A$10:$A$13,0))*$A24,0)))+Parametros!$B$3)</f>
      </c>
      <c r="G24" s="4">
        <f>MAX(Parametros!$B$15,MAX(Parametros!$B$15,MIN(Parametros!$B$16,ROUND(INDEX(Parametros!$D$10:$D$13,MATCH($C24,Parametros!$A$10:$A$13,0))+INDEX(Parametros!$E$10:$E$13,MATCH($C24,Parametros!$A$10:$A$13,0))*$A24,0)))-Parametros!$B$3)</f>
      </c>
      <c r="H24" s="4">
        <f>MIN(Parametros!$B$16,MAX(Parametros!$B$15,MIN(Parametros!$B$16,ROUND(INDEX(Parametros!$D$10:$D$13,MATCH($C24,Parametros!$A$10:$A$13,0))+INDEX(Parametros!$E$10:$E$13,MATCH($C24,Parametros!$A$10:$A$13,0))*$A24,0)))+Parametros!$B$3)</f>
      </c>
      <c r="I24" s="4">
        <f>MAX(Parametros!$B$15,MAX(Parametros!$B$15,MIN(Parametros!$B$16,ROUND(INDEX(Parametros!$F$10:$F$13,MATCH($C24,Parametros!$A$10:$A$13,0))+INDEX(Parametros!$G$10:$G$13,MATCH($C24,Parametros!$A$10:$A$13,0))*$A24,0)))-Parametros!$B$3)</f>
      </c>
      <c r="J24" s="4">
        <f>MIN(Parametros!$B$16,MAX(Parametros!$B$15,MIN(Parametros!$B$16,ROUND(INDEX(Parametros!$F$10:$F$13,MATCH($C24,Parametros!$A$10:$A$13,0))+INDEX(Parametros!$G$10:$G$13,MATCH($C24,Parametros!$A$10:$A$13,0))*$A24,0)))+Parametros!$B$3)</f>
      </c>
    </row>
    <row r="25">
      <c r="A25" s="4">
        <v>6</v>
      </c>
      <c r="B25" s="4" t="inlineStr">
        <is>
          <t xml:space="preserve">SRF</t>
        </is>
      </c>
      <c r="C25" s="4" t="inlineStr">
        <is>
          <t xml:space="preserve">POR</t>
        </is>
      </c>
      <c r="D25" s="4" t="inlineStr">
        <is>
          <t xml:space="preserve">Portero</t>
        </is>
      </c>
      <c r="E25" s="4">
        <f>MAX(Parametros!$B$15,MAX(Parametros!$B$15,MIN(Parametros!$B$16,ROUND(INDEX(Parametros!$B$10:$B$13,MATCH($C25,Parametros!$A$10:$A$13,0))+INDEX(Parametros!$C$10:$C$13,MATCH($C25,Parametros!$A$10:$A$13,0))*$A25,0)))-Parametros!$B$3)</f>
      </c>
      <c r="F25" s="4">
        <f>MIN(Parametros!$B$16,MAX(Parametros!$B$15,MIN(Parametros!$B$16,ROUND(INDEX(Parametros!$B$10:$B$13,MATCH($C25,Parametros!$A$10:$A$13,0))+INDEX(Parametros!$C$10:$C$13,MATCH($C25,Parametros!$A$10:$A$13,0))*$A25,0)))+Parametros!$B$3)</f>
      </c>
      <c r="G25" s="4">
        <f>MAX(Parametros!$B$15,MAX(Parametros!$B$15,MIN(Parametros!$B$16,ROUND(INDEX(Parametros!$D$10:$D$13,MATCH($C25,Parametros!$A$10:$A$13,0))+INDEX(Parametros!$E$10:$E$13,MATCH($C25,Parametros!$A$10:$A$13,0))*$A25,0)))-Parametros!$B$3)</f>
      </c>
      <c r="H25" s="4">
        <f>MIN(Parametros!$B$16,MAX(Parametros!$B$15,MIN(Parametros!$B$16,ROUND(INDEX(Parametros!$D$10:$D$13,MATCH($C25,Parametros!$A$10:$A$13,0))+INDEX(Parametros!$E$10:$E$13,MATCH($C25,Parametros!$A$10:$A$13,0))*$A25,0)))+Parametros!$B$3)</f>
      </c>
      <c r="I25" s="4">
        <f>MAX(Parametros!$B$15,MAX(Parametros!$B$15,MIN(Parametros!$B$16,ROUND(INDEX(Parametros!$F$10:$F$13,MATCH($C25,Parametros!$A$10:$A$13,0))+INDEX(Parametros!$G$10:$G$13,MATCH($C25,Parametros!$A$10:$A$13,0))*$A25,0)))-Parametros!$B$3)</f>
      </c>
      <c r="J25" s="4">
        <f>MIN(Parametros!$B$16,MAX(Parametros!$B$15,MIN(Parametros!$B$16,ROUND(INDEX(Parametros!$F$10:$F$13,MATCH($C25,Parametros!$A$10:$A$13,0))+INDEX(Parametros!$G$10:$G$13,MATCH($C25,Parametros!$A$10:$A$13,0))*$A25,0)))+Parametros!$B$3)</f>
      </c>
    </row>
    <row r="26">
      <c r="A26" s="4">
        <v>6</v>
      </c>
      <c r="B26" s="4" t="inlineStr">
        <is>
          <t xml:space="preserve">SRF</t>
        </is>
      </c>
      <c r="C26" s="4" t="inlineStr">
        <is>
          <t xml:space="preserve">DF</t>
        </is>
      </c>
      <c r="D26" s="4" t="inlineStr">
        <is>
          <t xml:space="preserve">Defensa</t>
        </is>
      </c>
      <c r="E26" s="4">
        <f>MAX(Parametros!$B$15,MAX(Parametros!$B$15,MIN(Parametros!$B$16,ROUND(INDEX(Parametros!$B$10:$B$13,MATCH($C26,Parametros!$A$10:$A$13,0))+INDEX(Parametros!$C$10:$C$13,MATCH($C26,Parametros!$A$10:$A$13,0))*$A26,0)))-Parametros!$B$3)</f>
      </c>
      <c r="F26" s="4">
        <f>MIN(Parametros!$B$16,MAX(Parametros!$B$15,MIN(Parametros!$B$16,ROUND(INDEX(Parametros!$B$10:$B$13,MATCH($C26,Parametros!$A$10:$A$13,0))+INDEX(Parametros!$C$10:$C$13,MATCH($C26,Parametros!$A$10:$A$13,0))*$A26,0)))+Parametros!$B$3)</f>
      </c>
      <c r="G26" s="4">
        <f>MAX(Parametros!$B$15,MAX(Parametros!$B$15,MIN(Parametros!$B$16,ROUND(INDEX(Parametros!$D$10:$D$13,MATCH($C26,Parametros!$A$10:$A$13,0))+INDEX(Parametros!$E$10:$E$13,MATCH($C26,Parametros!$A$10:$A$13,0))*$A26,0)))-Parametros!$B$3)</f>
      </c>
      <c r="H26" s="4">
        <f>MIN(Parametros!$B$16,MAX(Parametros!$B$15,MIN(Parametros!$B$16,ROUND(INDEX(Parametros!$D$10:$D$13,MATCH($C26,Parametros!$A$10:$A$13,0))+INDEX(Parametros!$E$10:$E$13,MATCH($C26,Parametros!$A$10:$A$13,0))*$A26,0)))+Parametros!$B$3)</f>
      </c>
      <c r="I26" s="4">
        <f>MAX(Parametros!$B$15,MAX(Parametros!$B$15,MIN(Parametros!$B$16,ROUND(INDEX(Parametros!$F$10:$F$13,MATCH($C26,Parametros!$A$10:$A$13,0))+INDEX(Parametros!$G$10:$G$13,MATCH($C26,Parametros!$A$10:$A$13,0))*$A26,0)))-Parametros!$B$3)</f>
      </c>
      <c r="J26" s="4">
        <f>MIN(Parametros!$B$16,MAX(Parametros!$B$15,MIN(Parametros!$B$16,ROUND(INDEX(Parametros!$F$10:$F$13,MATCH($C26,Parametros!$A$10:$A$13,0))+INDEX(Parametros!$G$10:$G$13,MATCH($C26,Parametros!$A$10:$A$13,0))*$A26,0)))+Parametros!$B$3)</f>
      </c>
    </row>
    <row r="27">
      <c r="A27" s="4">
        <v>6</v>
      </c>
      <c r="B27" s="4" t="inlineStr">
        <is>
          <t xml:space="preserve">SRF</t>
        </is>
      </c>
      <c r="C27" s="4" t="inlineStr">
        <is>
          <t xml:space="preserve">MC</t>
        </is>
      </c>
      <c r="D27" s="4" t="inlineStr">
        <is>
          <t xml:space="preserve">Centrocampista</t>
        </is>
      </c>
      <c r="E27" s="4">
        <f>MAX(Parametros!$B$15,MAX(Parametros!$B$15,MIN(Parametros!$B$16,ROUND(INDEX(Parametros!$B$10:$B$13,MATCH($C27,Parametros!$A$10:$A$13,0))+INDEX(Parametros!$C$10:$C$13,MATCH($C27,Parametros!$A$10:$A$13,0))*$A27,0)))-Parametros!$B$3)</f>
      </c>
      <c r="F27" s="4">
        <f>MIN(Parametros!$B$16,MAX(Parametros!$B$15,MIN(Parametros!$B$16,ROUND(INDEX(Parametros!$B$10:$B$13,MATCH($C27,Parametros!$A$10:$A$13,0))+INDEX(Parametros!$C$10:$C$13,MATCH($C27,Parametros!$A$10:$A$13,0))*$A27,0)))+Parametros!$B$3)</f>
      </c>
      <c r="G27" s="4">
        <f>MAX(Parametros!$B$15,MAX(Parametros!$B$15,MIN(Parametros!$B$16,ROUND(INDEX(Parametros!$D$10:$D$13,MATCH($C27,Parametros!$A$10:$A$13,0))+INDEX(Parametros!$E$10:$E$13,MATCH($C27,Parametros!$A$10:$A$13,0))*$A27,0)))-Parametros!$B$3)</f>
      </c>
      <c r="H27" s="4">
        <f>MIN(Parametros!$B$16,MAX(Parametros!$B$15,MIN(Parametros!$B$16,ROUND(INDEX(Parametros!$D$10:$D$13,MATCH($C27,Parametros!$A$10:$A$13,0))+INDEX(Parametros!$E$10:$E$13,MATCH($C27,Parametros!$A$10:$A$13,0))*$A27,0)))+Parametros!$B$3)</f>
      </c>
      <c r="I27" s="4">
        <f>MAX(Parametros!$B$15,MAX(Parametros!$B$15,MIN(Parametros!$B$16,ROUND(INDEX(Parametros!$F$10:$F$13,MATCH($C27,Parametros!$A$10:$A$13,0))+INDEX(Parametros!$G$10:$G$13,MATCH($C27,Parametros!$A$10:$A$13,0))*$A27,0)))-Parametros!$B$3)</f>
      </c>
      <c r="J27" s="4">
        <f>MIN(Parametros!$B$16,MAX(Parametros!$B$15,MIN(Parametros!$B$16,ROUND(INDEX(Parametros!$F$10:$F$13,MATCH($C27,Parametros!$A$10:$A$13,0))+INDEX(Parametros!$G$10:$G$13,MATCH($C27,Parametros!$A$10:$A$13,0))*$A27,0)))+Parametros!$B$3)</f>
      </c>
    </row>
    <row r="28">
      <c r="A28" s="4">
        <v>6</v>
      </c>
      <c r="B28" s="4" t="inlineStr">
        <is>
          <t xml:space="preserve">SRF</t>
        </is>
      </c>
      <c r="C28" s="4" t="inlineStr">
        <is>
          <t xml:space="preserve">DC</t>
        </is>
      </c>
      <c r="D28" s="4" t="inlineStr">
        <is>
          <t xml:space="preserve">Delantero</t>
        </is>
      </c>
      <c r="E28" s="4">
        <f>MAX(Parametros!$B$15,MAX(Parametros!$B$15,MIN(Parametros!$B$16,ROUND(INDEX(Parametros!$B$10:$B$13,MATCH($C28,Parametros!$A$10:$A$13,0))+INDEX(Parametros!$C$10:$C$13,MATCH($C28,Parametros!$A$10:$A$13,0))*$A28,0)))-Parametros!$B$3)</f>
      </c>
      <c r="F28" s="4">
        <f>MIN(Parametros!$B$16,MAX(Parametros!$B$15,MIN(Parametros!$B$16,ROUND(INDEX(Parametros!$B$10:$B$13,MATCH($C28,Parametros!$A$10:$A$13,0))+INDEX(Parametros!$C$10:$C$13,MATCH($C28,Parametros!$A$10:$A$13,0))*$A28,0)))+Parametros!$B$3)</f>
      </c>
      <c r="G28" s="4">
        <f>MAX(Parametros!$B$15,MAX(Parametros!$B$15,MIN(Parametros!$B$16,ROUND(INDEX(Parametros!$D$10:$D$13,MATCH($C28,Parametros!$A$10:$A$13,0))+INDEX(Parametros!$E$10:$E$13,MATCH($C28,Parametros!$A$10:$A$13,0))*$A28,0)))-Parametros!$B$3)</f>
      </c>
      <c r="H28" s="4">
        <f>MIN(Parametros!$B$16,MAX(Parametros!$B$15,MIN(Parametros!$B$16,ROUND(INDEX(Parametros!$D$10:$D$13,MATCH($C28,Parametros!$A$10:$A$13,0))+INDEX(Parametros!$E$10:$E$13,MATCH($C28,Parametros!$A$10:$A$13,0))*$A28,0)))+Parametros!$B$3)</f>
      </c>
      <c r="I28" s="4">
        <f>MAX(Parametros!$B$15,MAX(Parametros!$B$15,MIN(Parametros!$B$16,ROUND(INDEX(Parametros!$F$10:$F$13,MATCH($C28,Parametros!$A$10:$A$13,0))+INDEX(Parametros!$G$10:$G$13,MATCH($C28,Parametros!$A$10:$A$13,0))*$A28,0)))-Parametros!$B$3)</f>
      </c>
      <c r="J28" s="4">
        <f>MIN(Parametros!$B$16,MAX(Parametros!$B$15,MIN(Parametros!$B$16,ROUND(INDEX(Parametros!$F$10:$F$13,MATCH($C28,Parametros!$A$10:$A$13,0))+INDEX(Parametros!$G$10:$G$13,MATCH($C28,Parametros!$A$10:$A$13,0))*$A28,0)))+Parametros!$B$3)</f>
      </c>
    </row>
    <row r="29"/>
    <row r="30">
      <c r="A30" s="7" t="inlineStr">
        <is>
          <t xml:space="preserve">Ejemplo de fila válida (no la insertes, es solo para ver el formato):</t>
        </is>
      </c>
    </row>
    <row r="31">
      <c r="A31" t="inlineStr">
        <is>
          <t xml:space="preserve">Raro · Delantero · ataque 78 · defensa 57 · técnica 68  — dentro de los tres rangos de su fila.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Parámetros del modelo</t>
        </is>
      </c>
    </row>
    <row r="2"/>
    <row r="3">
      <c r="A3" t="inlineStr">
        <is>
          <t xml:space="preserve">Anchura de banda (±)</t>
        </is>
      </c>
      <c r="B3" s="3">
        <v>7</v>
      </c>
      <c r="C3" t="inlineStr">
        <is>
          <t xml:space="preserve">  &lt;- EDITA AQUÍ. Sube este número para que las rarezas se solapen más.</t>
        </is>
      </c>
    </row>
    <row r="4"/>
    <row r="5">
      <c r="A5" s="7" t="inlineStr">
        <is>
          <t xml:space="preserve">Cada estadística sigue una recta:  valor = a + b × rareza</t>
        </is>
      </c>
    </row>
    <row r="6">
      <c r="A6" t="inlineStr">
        <is>
          <t xml:space="preserve">Ajustada por mínimos cuadrados sobre las 38 cartas de jugador que ya existen en la base de datos.</t>
        </is>
      </c>
    </row>
    <row r="7">
      <c r="A7" t="inlineStr">
        <is>
          <t xml:space="preserve">Desviación máxima de una carta real respecto a su recta: 5,6 puntos.</t>
        </is>
      </c>
    </row>
    <row r="8"/>
    <row r="9">
      <c r="A9" s="2" t="inlineStr">
        <is>
          <t xml:space="preserve">Posición</t>
        </is>
      </c>
      <c r="B9" s="2" t="inlineStr">
        <is>
          <t xml:space="preserve">a (ataque)</t>
        </is>
      </c>
      <c r="C9" s="2" t="inlineStr">
        <is>
          <t xml:space="preserve">b (ataque)</t>
        </is>
      </c>
      <c r="D9" s="2" t="inlineStr">
        <is>
          <t xml:space="preserve">a (defensa)</t>
        </is>
      </c>
      <c r="E9" s="2" t="inlineStr">
        <is>
          <t xml:space="preserve">b (defensa)</t>
        </is>
      </c>
      <c r="F9" s="2" t="inlineStr">
        <is>
          <t xml:space="preserve">a (técnica)</t>
        </is>
      </c>
      <c r="G9" s="2" t="inlineStr">
        <is>
          <t xml:space="preserve">b (técnica)</t>
        </is>
      </c>
    </row>
    <row r="10">
      <c r="A10" s="4" t="inlineStr">
        <is>
          <t xml:space="preserve">POR</t>
        </is>
      </c>
      <c r="B10" s="4">
        <v>22.48</v>
      </c>
      <c r="C10" s="4">
        <v>7.91</v>
      </c>
      <c r="D10" s="4">
        <v>63</v>
      </c>
      <c r="E10" s="4">
        <v>6</v>
      </c>
      <c r="F10" s="4">
        <v>51.97</v>
      </c>
      <c r="G10" s="4">
        <v>6.83</v>
      </c>
    </row>
    <row r="11">
      <c r="A11" s="4" t="inlineStr">
        <is>
          <t xml:space="preserve">DF</t>
        </is>
      </c>
      <c r="B11" s="4">
        <v>37</v>
      </c>
      <c r="C11" s="4">
        <v>6.5</v>
      </c>
      <c r="D11" s="4">
        <v>57.13</v>
      </c>
      <c r="E11" s="4">
        <v>7.25</v>
      </c>
      <c r="F11" s="4">
        <v>47</v>
      </c>
      <c r="G11" s="4">
        <v>6.5</v>
      </c>
    </row>
    <row r="12">
      <c r="A12" s="4" t="inlineStr">
        <is>
          <t xml:space="preserve">MC</t>
        </is>
      </c>
      <c r="B12" s="4">
        <v>46.86</v>
      </c>
      <c r="C12" s="4">
        <v>7.98</v>
      </c>
      <c r="D12" s="4">
        <v>48.14</v>
      </c>
      <c r="E12" s="4">
        <v>8.02</v>
      </c>
      <c r="F12" s="4">
        <v>54.86</v>
      </c>
      <c r="G12" s="4">
        <v>8.33</v>
      </c>
    </row>
    <row r="13">
      <c r="A13" s="4" t="inlineStr">
        <is>
          <t xml:space="preserve">DC</t>
        </is>
      </c>
      <c r="B13" s="4">
        <v>63.09</v>
      </c>
      <c r="C13" s="4">
        <v>6.52</v>
      </c>
      <c r="D13" s="4">
        <v>35.78</v>
      </c>
      <c r="E13" s="4">
        <v>7.91</v>
      </c>
      <c r="F13" s="4">
        <v>48.48</v>
      </c>
      <c r="G13" s="4">
        <v>8.22</v>
      </c>
    </row>
    <row r="14"/>
    <row r="15">
      <c r="A15" s="7" t="inlineStr">
        <is>
          <t xml:space="preserve">Suelo y techo de cualquier estadística</t>
        </is>
      </c>
    </row>
    <row r="16">
      <c r="A16" t="inlineStr">
        <is>
          <t xml:space="preserve">Mínimo</t>
        </is>
      </c>
      <c r="B16" s="3">
        <v>20</v>
      </c>
    </row>
    <row r="17">
      <c r="A17" t="inlineStr">
        <is>
          <t xml:space="preserve">Máximo</t>
        </is>
      </c>
      <c r="B17" s="3">
        <v>99</v>
      </c>
    </row>
  </sheetData>
</worksheet>
</file>

<file path=xl/worksheets/sheet3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Cómo usar esta hoja</t>
        </is>
      </c>
    </row>
    <row r="2"/>
    <row r="3">
      <c r="A3" s="7" t="inlineStr">
        <is>
          <t xml:space="preserve">Para qué sirve</t>
        </is>
      </c>
    </row>
    <row r="4">
      <c r="A4" s="5" t="inlineStr">
        <is>
          <t xml:space="preserve">Al crear una carta nueva, busca su fila por RAREZA y POSICIÓN en la hoja Rangos y elige las tres estadísticas dentro de sus rangos. Nada más.</t>
        </is>
      </c>
    </row>
    <row r="5"/>
    <row r="6">
      <c r="A6" s="7" t="inlineStr">
        <is>
          <t xml:space="preserve">De dónde salen los números</t>
        </is>
      </c>
    </row>
    <row r="7">
      <c r="A7" s="5" t="inlineStr">
        <is>
          <t xml:space="preserve">No están inventados: se ajustó una recta (valor = a + b × rareza) sobre las 38 cartas de jugador que ya existen, por posición y estadística. Las cartas actuales se desvían como mucho 5,6 puntos de esa recta, así que la progresión original del catálogo se respeta.</t>
        </is>
      </c>
    </row>
    <row r="8"/>
    <row r="9">
      <c r="A9" s="7" t="inlineStr">
        <is>
          <t xml:space="preserve">Por qué los rangos se solapan a propósito</t>
        </is>
      </c>
    </row>
    <row r="10">
      <c r="A10" s="5" t="inlineStr">
        <is>
          <t xml:space="preserve">Un Raro fuerte llega donde un Épico flojo. Es deliberado: si cada rareza empezara donde acaba la anterior, la rareza sería el destino y ninguna decisión de construcción podría compensarla. El solape es lo que deja sitio a que jugar bien importe.</t>
        </is>
      </c>
    </row>
    <row r="11"/>
    <row r="12">
      <c r="A12" s="7" t="inlineStr">
        <is>
          <t xml:space="preserve">Las tres estadísticas no son intercambiables</t>
        </is>
      </c>
    </row>
    <row r="13">
      <c r="A13" s="5" t="inlineStr">
        <is>
          <t xml:space="preserve">Cada línea del campo puntúa con una mezcla distinta (Tcg::PESOS_LINEA): la portería pesa sobre todo Defensa, el medio sobre todo Técnica, y el ataque sobre todo Ataque. Por eso un portero tiene el ataque bajo y un delantero la defensa baja: no es adorno, es lo que hace que colocarlos en su sitio rinda.</t>
        </is>
      </c>
    </row>
    <row r="14"/>
    <row r="15">
      <c r="A15" s="7" t="inlineStr">
        <is>
          <t xml:space="preserve">Cartas que no son jugadores</t>
        </is>
      </c>
    </row>
    <row r="16">
      <c r="A16" s="5" t="inlineStr">
        <is>
          <t xml:space="preserve">Entrenadores, gerentes y escudos van con 0 en las tres estadísticas, como los que ya hay. Esta hoja no aplica a ellos.</t>
        </is>
      </c>
    </row>
    <row r="17"/>
    <row r="18">
      <c r="A18" s="7" t="inlineStr">
        <is>
          <t xml:space="preserve">Si quieres cambiar el equilibrio</t>
        </is>
      </c>
    </row>
    <row r="19">
      <c r="A19" s="5" t="inlineStr">
        <is>
          <t xml:space="preserve">Sube la anchura en la hoja Parametros (celda B3) y toda la tabla se recalcula. Lee antes la hoja Verificacion: ensanchar las bandas mueve el equilibrio mucho menos de lo que parece.</t>
        </is>
      </c>
    </row>
  </sheetData>
</worksheet>
</file>

<file path=xl/worksheets/sheet4.xml><?xml version="1.0" encoding="utf-8"?>
<worksheet xmlns="http://schemas.openxmlformats.org/spreadsheetml/2006/main">
  <cols>
    <col min="1" max="1" width="78" customWidth="1"/>
    <col min="2" max="2" width="22" customWidth="1"/>
    <col min="3" max="3" width="22" customWidth="1"/>
  </cols>
  <sheetData>
    <row r="1">
      <c r="A1" s="1" t="inlineStr">
        <is>
          <t xml:space="preserve">Verificación del equilibrio</t>
        </is>
      </c>
    </row>
    <row r="2">
      <c r="A2" s="5" t="inlineStr">
        <is>
          <t xml:space="preserve">Medido pasando equipos completos por el motor real del juego (fuerza de alineación → compos → fórmula maestra → curva Elo), sobre una copia desechable de la base de datos.</t>
        </is>
      </c>
    </row>
    <row r="3"/>
    <row r="4">
      <c r="A4" s="7" t="inlineStr">
        <is>
          <t xml:space="preserve">El objetivo pedido: que un equipo bien pensado pueda ganar a uno de todo SRF</t>
        </is>
      </c>
    </row>
    <row r="5">
      <c r="A5" s="6" t="inlineStr">
        <is>
          <t xml:space="preserve">No se cumple hoy, y la causa NO son los rangos.</t>
        </is>
      </c>
    </row>
    <row r="6"/>
    <row r="7">
      <c r="A7" s="2" t="inlineStr">
        <is>
          <t xml:space="preserve">Probabilidad de que gane el equipo de rareza baja (anchura 7, K 400)</t>
        </is>
      </c>
      <c r="B7" s="2" t="inlineStr">
        <is>
          <t xml:space="preserve">p(victoria)</t>
        </is>
      </c>
    </row>
    <row r="8">
      <c r="A8" s="4" t="inlineStr">
        <is>
          <t xml:space="preserve">Raro monotipo, bien colocado, contra SRF surtido</t>
        </is>
      </c>
      <c r="B8" s="4" t="inlineStr">
        <is>
          <t xml:space="preserve">11,2%</t>
        </is>
      </c>
    </row>
    <row r="9">
      <c r="A9" s="4" t="inlineStr">
        <is>
          <t xml:space="preserve">Raro SURTIDO (mal pensado) contra SRF surtido</t>
        </is>
      </c>
      <c r="B9" s="4" t="inlineStr">
        <is>
          <t xml:space="preserve">11,0%</t>
        </is>
      </c>
    </row>
    <row r="10">
      <c r="A10" s="4" t="inlineStr">
        <is>
          <t xml:space="preserve">Épico monotipo contra SRF surtido</t>
        </is>
      </c>
      <c r="B10" s="4" t="inlineStr">
        <is>
          <t xml:space="preserve">24,4%</t>
        </is>
      </c>
    </row>
    <row r="11">
      <c r="A11" s="4" t="inlineStr">
        <is>
          <t xml:space="preserve">Épico monotipo contra SRF monotipo</t>
        </is>
      </c>
      <c r="B11" s="4" t="inlineStr">
        <is>
          <t xml:space="preserve">41,8%</t>
        </is>
      </c>
    </row>
    <row r="12"/>
    <row r="13">
      <c r="A13" s="6" t="inlineStr">
        <is>
          <t xml:space="preserve">Lo más grave está en las dos primeras filas: pensar bien el equipo aporta 0,2 puntos. El sistema de compos actual premia MEZCLAR afinidades (un equipo surtido activa 8 rasgos) por encima de enfocarlas (un monotipo activa 4). Es el hallazgo 1 de la sección 10.6 de la documentación del proyecto, ahora medido.</t>
        </is>
      </c>
    </row>
    <row r="14"/>
    <row r="15">
      <c r="A15" s="7" t="inlineStr">
        <is>
          <t xml:space="preserve">Ensanchar las bandas casi no mueve el resultado</t>
        </is>
      </c>
    </row>
    <row r="16">
      <c r="A16" s="2" t="inlineStr">
        <is>
          <t xml:space="preserve">Anchura de banda</t>
        </is>
      </c>
      <c r="B16" s="2" t="inlineStr">
        <is>
          <t xml:space="preserve">p(Raro gana a SRF)</t>
        </is>
      </c>
      <c r="C16" s="2" t="inlineStr">
        <is>
          <t xml:space="preserve">p(Épico gana a SRF)</t>
        </is>
      </c>
    </row>
    <row r="17">
      <c r="A17" s="4" t="inlineStr">
        <is>
          <t xml:space="preserve">±7</t>
        </is>
      </c>
      <c r="B17" s="4" t="inlineStr">
        <is>
          <t xml:space="preserve">11,2%</t>
        </is>
      </c>
      <c r="C17" s="4" t="inlineStr">
        <is>
          <t xml:space="preserve">24,4%</t>
        </is>
      </c>
    </row>
    <row r="18">
      <c r="A18" s="4" t="inlineStr">
        <is>
          <t xml:space="preserve">±12</t>
        </is>
      </c>
      <c r="B18" s="4" t="inlineStr">
        <is>
          <t xml:space="preserve">14,7%</t>
        </is>
      </c>
      <c r="C18" s="4" t="inlineStr">
        <is>
          <t xml:space="preserve">30,3%</t>
        </is>
      </c>
    </row>
    <row r="19">
      <c r="A19" s="4" t="inlineStr">
        <is>
          <t xml:space="preserve">±18</t>
        </is>
      </c>
      <c r="B19" s="4" t="inlineStr">
        <is>
          <t xml:space="preserve">19,5%</t>
        </is>
      </c>
      <c r="C19" s="4" t="inlineStr">
        <is>
          <t xml:space="preserve">33,7%</t>
        </is>
      </c>
    </row>
    <row r="20">
      <c r="A20" s="4" t="inlineStr">
        <is>
          <t xml:space="preserve">±25</t>
        </is>
      </c>
      <c r="B20" s="4" t="inlineStr">
        <is>
          <t xml:space="preserve">22,9%</t>
        </is>
      </c>
      <c r="C20" s="4" t="inlineStr">
        <is>
          <t xml:space="preserve">34,5%</t>
        </is>
      </c>
    </row>
    <row r="21">
      <c r="A21" t="inlineStr">
        <is>
          <t xml:space="preserve">Con ±25 la rareza ya casi no significa nada, y aun así el Raro se queda en el 23%.</t>
        </is>
      </c>
    </row>
    <row r="22"/>
    <row r="23">
      <c r="A23" s="7" t="inlineStr">
        <is>
          <t xml:space="preserve">La K de la curva Elo sí lo mueve (es un valor de la tabla configuracion)</t>
        </is>
      </c>
    </row>
    <row r="24">
      <c r="A24" s="2" t="inlineStr">
        <is>
          <t xml:space="preserve">duelo_k</t>
        </is>
      </c>
      <c r="B24" s="2" t="inlineStr">
        <is>
          <t xml:space="preserve">p(Raro gana a SRF)</t>
        </is>
      </c>
      <c r="C24" s="2" t="inlineStr">
        <is>
          <t xml:space="preserve">p(Épico gana a SRF)</t>
        </is>
      </c>
    </row>
    <row r="25">
      <c r="A25" s="4" t="inlineStr">
        <is>
          <t xml:space="preserve">400 (actual)</t>
        </is>
      </c>
      <c r="B25" s="4" t="inlineStr">
        <is>
          <t xml:space="preserve">11,2%</t>
        </is>
      </c>
      <c r="C25" s="4" t="inlineStr">
        <is>
          <t xml:space="preserve">24,4%</t>
        </is>
      </c>
    </row>
    <row r="26">
      <c r="A26" s="4" t="inlineStr">
        <is>
          <t xml:space="preserve">700</t>
        </is>
      </c>
      <c r="B26" s="4" t="inlineStr">
        <is>
          <t xml:space="preserve">23,4%</t>
        </is>
      </c>
      <c r="C26" s="4" t="inlineStr">
        <is>
          <t xml:space="preserve">34,4%</t>
        </is>
      </c>
    </row>
    <row r="27">
      <c r="A27" s="4" t="inlineStr">
        <is>
          <t xml:space="preserve">1000</t>
        </is>
      </c>
      <c r="B27" s="4" t="inlineStr">
        <is>
          <t xml:space="preserve">30,4%</t>
        </is>
      </c>
      <c r="C27" s="4" t="inlineStr">
        <is>
          <t xml:space="preserve">38,9%</t>
        </is>
      </c>
    </row>
    <row r="28">
      <c r="A28" s="4" t="inlineStr">
        <is>
          <t xml:space="preserve">1500</t>
        </is>
      </c>
      <c r="B28" s="4" t="inlineStr">
        <is>
          <t xml:space="preserve">36,5%</t>
        </is>
      </c>
      <c r="C28" s="4" t="inlineStr">
        <is>
          <t xml:space="preserve">42,5%</t>
        </is>
      </c>
    </row>
    <row r="29"/>
    <row r="30">
      <c r="A30" s="7" t="inlineStr">
        <is>
          <t xml:space="preserve">Conclusión</t>
        </is>
      </c>
    </row>
    <row r="31">
      <c r="A31" s="5" t="inlineStr">
        <is>
          <t xml:space="preserve">Los rangos de esta hoja son correctos y utilizables: respetan la progresión del catálogo y dejan solape entre rarezas. Pero para que un equipo bien pensado gane a uno de todo SRF hacen falta dos cambios que NO son de rangos: (1) que los compos premien enfocar afinidades en vez de mezclarlas, y (2) subir duelo_k. Los dos son decisiones de balance, no de datos de carta.</t>
        </is>
      </c>
    </row>
  </sheetData>
</worksheet>
</file>